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道満調研DB\商品カルテ\"/>
    </mc:Choice>
  </mc:AlternateContent>
  <xr:revisionPtr revIDLastSave="0" documentId="13_ncr:1_{8E01AD4C-5F9C-443E-B1A5-79CC60438C09}" xr6:coauthVersionLast="47" xr6:coauthVersionMax="47" xr10:uidLastSave="{00000000-0000-0000-0000-000000000000}"/>
  <bookViews>
    <workbookView xWindow="-120" yWindow="-120" windowWidth="19440" windowHeight="14880" xr2:uid="{B6586A96-68FD-4C16-A2A2-7C72387FA792}"/>
  </bookViews>
  <sheets>
    <sheet name="離宮の食べるラー油" sheetId="1" r:id="rId1"/>
    <sheet name="記入例" sheetId="2" r:id="rId2"/>
  </sheets>
  <definedNames>
    <definedName name="_xlnm.Print_Area" localSheetId="0">離宮の食べるラー油!$A$1:$AF$47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<sst xmlns="http://schemas.openxmlformats.org/spreadsheetml/2006/main" count="136" uniqueCount="83">
  <si>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</si>
  <si>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</si>
  <si>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</si>
  <si>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</si>
  <si>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</si>
  <si>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</si>
  <si>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</si>
  <si>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</si>
  <si>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</si>
  <si>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</si>
  <si>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</si>
  <si>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</si>
  <si>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</si>
  <si>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</si>
  <si>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</si>
  <si>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</si>
  <si>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</si>
  <si>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</si>
  <si>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</si>
  <si>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</si>
  <si>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</si>
  <si>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</si>
  <si>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</si>
  <si>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</si>
  <si>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</si>
  <si>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</si>
  <si>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</si>
  <si>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</si>
  <si>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</si>
  <si>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</si>
  <si>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</si>
  <si>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</si>
  <si>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</si>
  <si>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</si>
  <si>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</si>
  <si>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</si>
  <si>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</si>
  <si>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</si>
  <si>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</si>
  <si>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</si>
  <si>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</si>
  <si>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</si>
  <si>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</si>
  <si>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</si>
  <si>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</si>
  <si>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</si>
  <si>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</si>
  <si>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</si>
  <si>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</si>
  <si>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</si>
  <si>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</si>
  <si>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</si>
  <si>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</si>
  <si>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</si>
  <si>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</si>
  <si>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</si>
  <si>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</si>
  <si>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</si>
  <si>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</si>
  <si>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</si>
  <si>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</si>
  <si>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</si>
  <si>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</si>
  <si>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</si>
  <si>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</si>
  <si>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</si>
  <si>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</si>
  <si>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</si>
  <si>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</si>
  <si>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</si>
  <si>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</si>
  <si>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</si>
  <si>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</si>
  <si>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</si>
  <si>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</si>
  <si>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0003</t>
    <phoneticPr fontId="1"/>
  </si>
  <si>
    <t>NO IMAGE</t>
    <phoneticPr fontId="1"/>
  </si>
  <si>
    <t>京都府京都市</t>
    <rPh sb="0" eb="3">
      <t>キョウトフ</t>
    </rPh>
    <rPh sb="3" eb="6">
      <t>キョウトシ</t>
    </rPh>
    <phoneticPr fontId="1"/>
  </si>
  <si>
    <t>とうがらし（こくさん）、ゆず、山椒、食塩、黒ゴマ、青のり、生姜</t>
    <rPh sb="15" eb="17">
      <t>サンショウ</t>
    </rPh>
    <rPh sb="18" eb="20">
      <t>ショクエン</t>
    </rPh>
    <rPh sb="21" eb="22">
      <t>クロ</t>
    </rPh>
    <rPh sb="25" eb="26">
      <t>アオ</t>
    </rPh>
    <rPh sb="29" eb="31">
      <t>ショウガ</t>
    </rPh>
    <phoneticPr fontId="1"/>
  </si>
  <si>
    <t>京都離宮</t>
    <rPh sb="0" eb="4">
      <t>キョウトリキュウ</t>
    </rPh>
    <phoneticPr fontId="1"/>
  </si>
  <si>
    <t>京都市伏見区中島鳥羽離宮町45シャルレ桂坂1F</t>
    <rPh sb="0" eb="3">
      <t>キョウトシ</t>
    </rPh>
    <rPh sb="3" eb="6">
      <t>フシミク</t>
    </rPh>
    <rPh sb="6" eb="8">
      <t>ナカシマ</t>
    </rPh>
    <rPh sb="8" eb="10">
      <t>トバ</t>
    </rPh>
    <rPh sb="10" eb="12">
      <t>リキュウ</t>
    </rPh>
    <rPh sb="12" eb="13">
      <t>マチ</t>
    </rPh>
    <rPh sb="19" eb="20">
      <t>カツラ</t>
    </rPh>
    <rPh sb="20" eb="21">
      <t>サカ</t>
    </rPh>
    <phoneticPr fontId="1"/>
  </si>
  <si>
    <t>京都離宮</t>
    <rPh sb="0" eb="2">
      <t>キョウト</t>
    </rPh>
    <rPh sb="2" eb="4">
      <t>リキュウ</t>
    </rPh>
    <phoneticPr fontId="1"/>
  </si>
  <si>
    <t>離宮の食べる七味　70ｇ</t>
    <rPh sb="0" eb="1">
      <t>リキュウ</t>
    </rPh>
    <rPh sb="2" eb="3">
      <t>タ</t>
    </rPh>
    <rPh sb="5" eb="7">
      <t>シチミ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</si>
</sst>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9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7" fillId="0" borderId="0" xfId="0" applyFont="1">
      <alignment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8" fillId="2" borderId="26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0" borderId="30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0" xfId="0" applyBorder="1">
      <alignment vertical="center"/>
    </xf>
    <xf numFmtId="0" fontId="8" fillId="2" borderId="1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8" fillId="2" borderId="25" xfId="0" applyFont="1" applyFill="1" applyBorder="1">
      <alignment vertical="center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7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7" fillId="0" borderId="8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161925</xdr:colOff>
      <xdr:row>0</xdr:row>
      <xdr:rowOff>114300</xdr:rowOff>
    </xdr:from>
    <xdr:to>
      <xdr:col>31</xdr:col>
      <xdr:colOff>153862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B78BB1-47DF-41DC-878A-6E528B415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14300"/>
          <a:ext cx="1134937" cy="245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zoomScaleNormal="100" workbookViewId="0">
      <selection activeCell="AK4" sqref="AK4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82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 t="s">
        <v>76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77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78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79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/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80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/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/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/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/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/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/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 t="e">
        <f>SUM((F36-R36)/F36)</f>
        <v>#DIV/0!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/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/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/>
      <c r="W39" s="10"/>
      <c r="X39" s="4" t="s">
        <v>57</v>
      </c>
      <c r="Y39" s="8" t="s">
        <v>58</v>
      </c>
      <c r="Z39" s="8"/>
      <c r="AA39" s="8"/>
      <c r="AB39" s="8"/>
      <c r="AC39" s="9"/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6" t="s">
        <v>53</v>
      </c>
      <c r="S40" s="6"/>
      <c r="T40" s="6"/>
      <c r="U40" s="6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31" t="s">
        <v>55</v>
      </c>
      <c r="S42" s="31"/>
      <c r="T42" s="31"/>
      <c r="U42" s="31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 t="s">
        <v>81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41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3"/>
      <c r="R45" s="21" t="s">
        <v>69</v>
      </c>
      <c r="S45" s="22"/>
      <c r="T45" s="22"/>
      <c r="U45" s="22"/>
      <c r="V45" s="22"/>
      <c r="W45" s="23"/>
      <c r="X45" s="18"/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topLeftCell="A19" workbookViewId="0">
      <selection activeCell="AK17" sqref="AK17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36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3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 t="s">
        <v>11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 t="s">
        <v>2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 t="s">
        <v>10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 t="s">
        <v>5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 t="s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 t="s">
        <v>6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 t="s">
        <v>74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 t="s">
        <v>18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 t="s">
        <v>17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19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25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 t="s">
        <v>23</v>
      </c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 t="s">
        <v>32</v>
      </c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33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 t="s">
        <v>27</v>
      </c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 t="s">
        <v>29</v>
      </c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 t="s">
        <v>35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 t="s">
        <v>45</v>
      </c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>
        <v>45600447750204</v>
      </c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 t="s">
        <v>44</v>
      </c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>
        <v>680</v>
      </c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>
        <v>450</v>
      </c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>
        <f>SUM((F36-R36)/F36)</f>
        <v>0.33823529411764708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 t="s">
        <v>61</v>
      </c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 t="s">
        <v>60</v>
      </c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>
        <v>143</v>
      </c>
      <c r="W39" s="10"/>
      <c r="X39" s="4" t="s">
        <v>57</v>
      </c>
      <c r="Y39" s="8" t="s">
        <v>58</v>
      </c>
      <c r="Z39" s="8"/>
      <c r="AA39" s="8"/>
      <c r="AB39" s="8"/>
      <c r="AC39" s="9">
        <v>3.14</v>
      </c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>
        <v>40</v>
      </c>
      <c r="G40" s="17"/>
      <c r="H40" s="17"/>
      <c r="I40" s="17"/>
      <c r="J40" s="17">
        <v>40</v>
      </c>
      <c r="K40" s="17"/>
      <c r="L40" s="17"/>
      <c r="M40" s="17"/>
      <c r="N40" s="17">
        <v>125</v>
      </c>
      <c r="O40" s="17"/>
      <c r="P40" s="17"/>
      <c r="Q40" s="17"/>
      <c r="R40" s="6" t="s">
        <v>53</v>
      </c>
      <c r="S40" s="6"/>
      <c r="T40" s="6"/>
      <c r="U40" s="6"/>
      <c r="V40" s="37" t="s">
        <v>63</v>
      </c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 t="s">
        <v>64</v>
      </c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>
        <v>190</v>
      </c>
      <c r="G42" s="15"/>
      <c r="H42" s="15"/>
      <c r="I42" s="15"/>
      <c r="J42" s="15">
        <v>240</v>
      </c>
      <c r="K42" s="15"/>
      <c r="L42" s="15"/>
      <c r="M42" s="15"/>
      <c r="N42" s="15">
        <v>140</v>
      </c>
      <c r="O42" s="15"/>
      <c r="P42" s="15"/>
      <c r="Q42" s="15"/>
      <c r="R42" s="31" t="s">
        <v>55</v>
      </c>
      <c r="S42" s="31"/>
      <c r="T42" s="31"/>
      <c r="U42" s="31"/>
      <c r="V42" s="27" t="s">
        <v>65</v>
      </c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41" t="s">
        <v>70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3"/>
      <c r="R45" s="21" t="s">
        <v>69</v>
      </c>
      <c r="S45" s="22"/>
      <c r="T45" s="22"/>
      <c r="U45" s="22"/>
      <c r="V45" s="22"/>
      <c r="W45" s="23"/>
      <c r="X45" s="18" t="s">
        <v>71</v>
      </c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 t="s">
        <v>72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離宮の食べるラー油</vt:lpstr>
      <vt:lpstr>記入例</vt:lpstr>
      <vt:lpstr>離宮の食べるラー油!Print_Area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2023-12-12T01:51:55Z</dcterms:modified>
</cp:coreProperties>
</file>