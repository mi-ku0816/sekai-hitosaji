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oliver\Desktop\"/>
    </mc:Choice>
  </mc:AlternateContent>
  <xr:revisionPtr revIDLastSave="0" documentId="13_ncr:1_{F14F3C2A-CC07-493D-A296-D8402145544E}" xr6:coauthVersionLast="47" xr6:coauthVersionMax="47" xr10:uidLastSave="{00000000-0000-0000-0000-000000000000}"/>
  <bookViews>
    <workbookView xWindow="-120" yWindow="-120" windowWidth="19440" windowHeight="14880" xr2:uid="{B6586A96-68FD-4C16-A2A2-7C72387FA792}"/>
  </bookViews>
  <sheets>
    <sheet name="原紙" sheetId="1" r:id="rId1"/>
    <sheet name="記入例" sheetId="2" r:id="rId2"/>
  </sheets>
  <definedNames>
    <definedName name="_xlnm.Print_Area" localSheetId="0">原紙!$A$1:$AF$47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2" l="1"/>
  <c r="AC36" i="1"/>
</calcChain>
</file>

<file path=xl/sharedStrings.xml><?xml version="1.0" encoding="utf-8"?>
<sst xmlns="http://schemas.openxmlformats.org/spreadsheetml/2006/main" count="145" uniqueCount="91">
  <si>
    <t>製造工場所在地</t>
    <rPh sb="0" eb="2">
      <t>セイゾウ</t>
    </rPh>
    <rPh sb="2" eb="4">
      <t>コウジョウ</t>
    </rPh>
    <rPh sb="4" eb="7">
      <t>ショザイチ</t>
    </rPh>
    <phoneticPr fontId="1"/>
  </si>
  <si>
    <t>商品特徴</t>
    <rPh sb="0" eb="2">
      <t>ショウヒン</t>
    </rPh>
    <rPh sb="2" eb="4">
      <t>トクチョウ</t>
    </rPh>
    <phoneticPr fontId="1"/>
  </si>
  <si>
    <t>少し辛い物が好きな女性</t>
    <rPh sb="0" eb="1">
      <t>スコ</t>
    </rPh>
    <rPh sb="2" eb="3">
      <t>カラ</t>
    </rPh>
    <rPh sb="4" eb="5">
      <t>モノ</t>
    </rPh>
    <rPh sb="6" eb="7">
      <t>ス</t>
    </rPh>
    <rPh sb="9" eb="11">
      <t>ジョセイ</t>
    </rPh>
    <phoneticPr fontId="1"/>
  </si>
  <si>
    <t>新潟県新潟市</t>
    <rPh sb="0" eb="2">
      <t>ニイガタ</t>
    </rPh>
    <rPh sb="2" eb="3">
      <t>ケン</t>
    </rPh>
    <rPh sb="3" eb="5">
      <t>ニイガタ</t>
    </rPh>
    <rPh sb="5" eb="6">
      <t>シ</t>
    </rPh>
    <phoneticPr fontId="1"/>
  </si>
  <si>
    <t>使用特殊原材料</t>
    <rPh sb="0" eb="2">
      <t>シヨウ</t>
    </rPh>
    <rPh sb="2" eb="4">
      <t>トクシュ</t>
    </rPh>
    <rPh sb="4" eb="7">
      <t>ゲンザイリョウ</t>
    </rPh>
    <phoneticPr fontId="1"/>
  </si>
  <si>
    <t>かぐら南蛮</t>
    <rPh sb="3" eb="5">
      <t>ナンバン</t>
    </rPh>
    <phoneticPr fontId="1"/>
  </si>
  <si>
    <t>①スープやラーメンなどに数滴垂らすと劇的な味のの変化を楽しめます。②鍋物や冷奴、そばうどんの薬味としてもお使いください。③トマトとモッツァレラのカプレーゼなど、オリーブオイルの代わりにも。④生野菜とラー油をかけて、ちょい辛サラダのできあがり。</t>
    <rPh sb="12" eb="14">
      <t>スウテキ</t>
    </rPh>
    <rPh sb="14" eb="15">
      <t>タ</t>
    </rPh>
    <rPh sb="18" eb="20">
      <t>ゲキテキ</t>
    </rPh>
    <rPh sb="21" eb="22">
      <t>アジ</t>
    </rPh>
    <rPh sb="24" eb="26">
      <t>ヘンカ</t>
    </rPh>
    <rPh sb="27" eb="28">
      <t>タノ</t>
    </rPh>
    <rPh sb="34" eb="36">
      <t>ナベモノ</t>
    </rPh>
    <rPh sb="37" eb="39">
      <t>ヒヤヤッコ</t>
    </rPh>
    <rPh sb="46" eb="48">
      <t>ヤクミ</t>
    </rPh>
    <rPh sb="53" eb="54">
      <t>ツカ</t>
    </rPh>
    <rPh sb="88" eb="89">
      <t>カ</t>
    </rPh>
    <rPh sb="95" eb="98">
      <t>ナマヤサイ</t>
    </rPh>
    <rPh sb="101" eb="102">
      <t>ユ</t>
    </rPh>
    <rPh sb="110" eb="111">
      <t>カラ</t>
    </rPh>
    <phoneticPr fontId="1"/>
  </si>
  <si>
    <t>どんな方へ？</t>
    <rPh sb="3" eb="4">
      <t>カタ</t>
    </rPh>
    <phoneticPr fontId="1"/>
  </si>
  <si>
    <t>どんなシーンで？</t>
    <phoneticPr fontId="1"/>
  </si>
  <si>
    <t>食べ方</t>
    <rPh sb="0" eb="1">
      <t>タ</t>
    </rPh>
    <rPh sb="2" eb="3">
      <t>カタ</t>
    </rPh>
    <phoneticPr fontId="1"/>
  </si>
  <si>
    <t>日常の食卓にちょっとした驚きを与える</t>
    <rPh sb="0" eb="2">
      <t>ニチジョウ</t>
    </rPh>
    <rPh sb="3" eb="5">
      <t>ショクタク</t>
    </rPh>
    <rPh sb="12" eb="13">
      <t>オドロ</t>
    </rPh>
    <rPh sb="15" eb="16">
      <t>アタ</t>
    </rPh>
    <phoneticPr fontId="1"/>
  </si>
  <si>
    <r>
      <t xml:space="preserve">新潟県小千谷市特産のかぐら南蛮を原料にしたみどり色のラー油です。少し遅れてくるさわやかな辛味が料理の味を引き立てます。きれいなみどり色が料理の色合いを際立たせて美味しく見せます。
</t>
    </r>
    <r>
      <rPr>
        <sz val="8"/>
        <color rgb="FFFF0000"/>
        <rFont val="游ゴシック"/>
        <family val="3"/>
        <charset val="128"/>
        <scheme val="minor"/>
      </rPr>
      <t>2020調味料選手権辛味部門最優秀賞受賞
2018調味料選手権審査員特別賞受賞（伝説の家政婦賞）
料理王国100選2017優秀賞受賞・2018・2019選定商品</t>
    </r>
    <rPh sb="151" eb="154">
      <t>ユウシュウショウ</t>
    </rPh>
    <rPh sb="154" eb="156">
      <t>ジュショウ</t>
    </rPh>
    <rPh sb="166" eb="170">
      <t>センテイショウヒン</t>
    </rPh>
    <phoneticPr fontId="1"/>
  </si>
  <si>
    <t>商品コピー</t>
    <rPh sb="0" eb="2">
      <t>ショウヒン</t>
    </rPh>
    <phoneticPr fontId="1"/>
  </si>
  <si>
    <t>いつものメニューが変わる。
美味しさを引き出す魔法の一滴。</t>
    <rPh sb="9" eb="10">
      <t>カ</t>
    </rPh>
    <rPh sb="14" eb="16">
      <t>オイ</t>
    </rPh>
    <rPh sb="19" eb="20">
      <t>ヒ</t>
    </rPh>
    <rPh sb="21" eb="22">
      <t>ダ</t>
    </rPh>
    <rPh sb="23" eb="25">
      <t>マホウ</t>
    </rPh>
    <rPh sb="26" eb="28">
      <t>イッテキ</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</si>
  <si>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</si>
  <si>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</si>
  <si>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</si>
  <si>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ごま、大豆</t>
    <rPh sb="3" eb="5">
      <t>ダイズ</t>
    </rPh>
    <phoneticPr fontId="1"/>
  </si>
  <si>
    <t>大豆:アメリカ、ブラジル等</t>
  </si>
  <si>
    <t>食用大豆、食用なたね油、食用ごま油、かぐら南蛮粉末、ハラペーニョ粉末、香辛料抽出物、香料、着色料（クチナシ、ウコン）、酸化防止剤（V.E）</t>
    <rPh sb="0" eb="2">
      <t>ショクヨウ</t>
    </rPh>
    <rPh sb="2" eb="4">
      <t>ダイズ</t>
    </rPh>
    <rPh sb="5" eb="7">
      <t>ショクヨウ</t>
    </rPh>
    <rPh sb="10" eb="11">
      <t>アブラ</t>
    </rPh>
    <rPh sb="12" eb="14">
      <t>ショクヨウ</t>
    </rPh>
    <rPh sb="16" eb="17">
      <t>アブラ</t>
    </rPh>
    <rPh sb="21" eb="25">
      <t>ナンバンフンマツ</t>
    </rPh>
    <rPh sb="32" eb="34">
      <t>フンマツ</t>
    </rPh>
    <rPh sb="35" eb="38">
      <t>コウシンリョウ</t>
    </rPh>
    <rPh sb="38" eb="41">
      <t>チュウシュツブツ</t>
    </rPh>
    <rPh sb="42" eb="44">
      <t>コウリョウ</t>
    </rPh>
    <rPh sb="45" eb="48">
      <t>チャクショクリョウ</t>
    </rPh>
    <rPh sb="59" eb="61">
      <t>サンカ</t>
    </rPh>
    <rPh sb="61" eb="64">
      <t>ボウシザイ</t>
    </rPh>
    <phoneticPr fontId="1"/>
  </si>
  <si>
    <t>非合理性</t>
    <rPh sb="0" eb="3">
      <t>ヒゴウリ</t>
    </rPh>
    <rPh sb="3" eb="4">
      <t>セイ</t>
    </rPh>
    <phoneticPr fontId="1"/>
  </si>
  <si>
    <t>調味料データ</t>
    <rPh sb="0" eb="3">
      <t>チョウミリョウ</t>
    </rPh>
    <phoneticPr fontId="1"/>
  </si>
  <si>
    <t>社名</t>
    <rPh sb="0" eb="2">
      <t>シャメイ</t>
    </rPh>
    <phoneticPr fontId="1"/>
  </si>
  <si>
    <t>和田正樹</t>
    <rPh sb="0" eb="2">
      <t>ワダ</t>
    </rPh>
    <rPh sb="2" eb="4">
      <t>マサキ</t>
    </rPh>
    <phoneticPr fontId="1"/>
  </si>
  <si>
    <t>担当窓口</t>
    <rPh sb="0" eb="2">
      <t>タントウ</t>
    </rPh>
    <rPh sb="2" eb="4">
      <t>マドグチ</t>
    </rPh>
    <phoneticPr fontId="1"/>
  </si>
  <si>
    <t>株式会社 わたや</t>
    <rPh sb="0" eb="4">
      <t>カブシキガイシャ</t>
    </rPh>
    <phoneticPr fontId="1"/>
  </si>
  <si>
    <t>電話</t>
    <rPh sb="0" eb="2">
      <t>デンワ</t>
    </rPh>
    <phoneticPr fontId="1"/>
  </si>
  <si>
    <t>0258-82-2258</t>
    <phoneticPr fontId="1"/>
  </si>
  <si>
    <t>FAX</t>
    <phoneticPr fontId="1"/>
  </si>
  <si>
    <t>0258-83-4741</t>
    <phoneticPr fontId="1"/>
  </si>
  <si>
    <t>郵便番号</t>
    <rPh sb="0" eb="4">
      <t>ユウビンバンゴウ</t>
    </rPh>
    <phoneticPr fontId="1"/>
  </si>
  <si>
    <t>住所</t>
    <rPh sb="0" eb="2">
      <t>ジュウショ</t>
    </rPh>
    <phoneticPr fontId="1"/>
  </si>
  <si>
    <t>947-0021</t>
    <phoneticPr fontId="1"/>
  </si>
  <si>
    <t>新潟県小千谷市本町2-3-34</t>
    <rPh sb="0" eb="3">
      <t>ニイガタケン</t>
    </rPh>
    <rPh sb="3" eb="4">
      <t>ショウ</t>
    </rPh>
    <rPh sb="4" eb="5">
      <t>セン</t>
    </rPh>
    <rPh sb="5" eb="6">
      <t>タニ</t>
    </rPh>
    <rPh sb="6" eb="7">
      <t>シ</t>
    </rPh>
    <rPh sb="7" eb="9">
      <t>ホンマチ</t>
    </rPh>
    <phoneticPr fontId="1"/>
  </si>
  <si>
    <t>E-MAIL</t>
    <phoneticPr fontId="1"/>
  </si>
  <si>
    <t>info@watayasoba.co.jp</t>
    <phoneticPr fontId="1"/>
  </si>
  <si>
    <t>みどりのラー油　45ｇ</t>
    <rPh sb="5" eb="6">
      <t>ユ</t>
    </rPh>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</si>
  <si>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</si>
  <si>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</si>
  <si>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</si>
  <si>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</si>
  <si>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</si>
  <si>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</si>
  <si>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</si>
  <si>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2ケース</t>
    <phoneticPr fontId="1"/>
  </si>
  <si>
    <t>20本</t>
    <rPh sb="2" eb="3">
      <t>ホン</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</si>
  <si>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</si>
  <si>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</si>
  <si>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</si>
  <si>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</si>
  <si>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</si>
  <si>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</si>
  <si>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</si>
  <si>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</si>
  <si>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</si>
  <si>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</si>
  <si>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</si>
  <si>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</si>
  <si>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</si>
  <si>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</si>
  <si>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常温</t>
    <rPh sb="0" eb="2">
      <t>ジョウオン</t>
    </rPh>
    <phoneticPr fontId="1"/>
  </si>
  <si>
    <t>180日</t>
    <rPh sb="3" eb="4">
      <t>ニチ</t>
    </rPh>
    <phoneticPr fontId="1"/>
  </si>
  <si>
    <t>小売店</t>
    <rPh sb="0" eb="3">
      <t>コウリテン</t>
    </rPh>
    <phoneticPr fontId="1"/>
  </si>
  <si>
    <t>瓶：ガラス、キャップ：ポリエチレン</t>
    <rPh sb="0" eb="1">
      <t>ビン</t>
    </rPh>
    <phoneticPr fontId="1"/>
  </si>
  <si>
    <t>紙</t>
    <rPh sb="0" eb="1">
      <t>カミ</t>
    </rPh>
    <phoneticPr fontId="1"/>
  </si>
  <si>
    <t>段ボール</t>
    <rPh sb="0" eb="1">
      <t>ダン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</si>
  <si>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</si>
  <si>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</si>
  <si>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</si>
  <si>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</si>
  <si>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2本セット　1446円　2000円以上送料無料</t>
    <rPh sb="1" eb="2">
      <t>ホン</t>
    </rPh>
    <rPh sb="10" eb="11">
      <t>エン</t>
    </rPh>
    <rPh sb="16" eb="19">
      <t>エンイジョウ</t>
    </rPh>
    <rPh sb="19" eb="23">
      <t>ソウリョウムリョウ</t>
    </rPh>
    <phoneticPr fontId="1"/>
  </si>
  <si>
    <t>1本　1380円　送料無料</t>
    <rPh sb="1" eb="2">
      <t>ホン</t>
    </rPh>
    <rPh sb="7" eb="8">
      <t>エン</t>
    </rPh>
    <rPh sb="9" eb="13">
      <t>ソウリョウムリョウ</t>
    </rPh>
    <phoneticPr fontId="1"/>
  </si>
  <si>
    <t>https://note.com/dohman_cho_ken/n/n09586f92a591</t>
    <phoneticPr fontId="1"/>
  </si>
  <si>
    <t>0001</t>
    <phoneticPr fontId="1"/>
  </si>
  <si>
    <t>原料指定：かぐら南蛮</t>
    <rPh sb="0" eb="2">
      <t>ゲンリョウ</t>
    </rPh>
    <rPh sb="2" eb="4">
      <t>シテイ</t>
    </rPh>
    <rPh sb="8" eb="10">
      <t>ナンバン</t>
    </rPh>
    <phoneticPr fontId="1"/>
  </si>
  <si>
    <t>0007</t>
    <phoneticPr fontId="1"/>
  </si>
  <si>
    <t>底引きたまり　200ｍｌ</t>
    <rPh sb="0" eb="1">
      <t>ソコビ</t>
    </rPh>
    <phoneticPr fontId="1"/>
  </si>
  <si>
    <t>三重県鈴鹿市</t>
    <rPh sb="0" eb="3">
      <t>ミエケン</t>
    </rPh>
    <rPh sb="3" eb="6">
      <t>スズカシ</t>
    </rPh>
    <phoneticPr fontId="1"/>
  </si>
  <si>
    <t>圧縮や加熱をしていない純生引溜は酵母と乳酸菌にストレスがかかっていません。
活きたままの生詰めです。</t>
    <rPh sb="0" eb="2">
      <t>アッシュク</t>
    </rPh>
    <rPh sb="3" eb="5">
      <t>カネツ</t>
    </rPh>
    <rPh sb="11" eb="13">
      <t>ジュンナマ</t>
    </rPh>
    <rPh sb="13" eb="14">
      <t>ヒ</t>
    </rPh>
    <rPh sb="14" eb="15">
      <t>タ</t>
    </rPh>
    <rPh sb="16" eb="18">
      <t>コウボ</t>
    </rPh>
    <rPh sb="19" eb="22">
      <t>ニュウサンキン</t>
    </rPh>
    <rPh sb="38" eb="39">
      <t>イ</t>
    </rPh>
    <rPh sb="44" eb="45">
      <t>ナマ</t>
    </rPh>
    <rPh sb="45" eb="46">
      <t>ツ</t>
    </rPh>
    <phoneticPr fontId="1"/>
  </si>
  <si>
    <t>国産丸大豆使用</t>
    <rPh sb="0" eb="2">
      <t>コクサン</t>
    </rPh>
    <rPh sb="2" eb="5">
      <t>マルダイズ</t>
    </rPh>
    <rPh sb="5" eb="7">
      <t>シヨウ</t>
    </rPh>
    <phoneticPr fontId="1"/>
  </si>
  <si>
    <t>希少性・杉桶天然醸造三年半以上</t>
    <rPh sb="0" eb="2">
      <t>キショウ</t>
    </rPh>
    <rPh sb="2" eb="3">
      <t>セイ</t>
    </rPh>
    <rPh sb="4" eb="5">
      <t>スギ</t>
    </rPh>
    <rPh sb="5" eb="6">
      <t>オケ</t>
    </rPh>
    <rPh sb="6" eb="8">
      <t>テンネン</t>
    </rPh>
    <rPh sb="8" eb="10">
      <t>ジョウゾウ</t>
    </rPh>
    <rPh sb="10" eb="12">
      <t>サンネン</t>
    </rPh>
    <rPh sb="12" eb="13">
      <t>ハン</t>
    </rPh>
    <rPh sb="13" eb="15">
      <t>イジョウ</t>
    </rPh>
    <phoneticPr fontId="1"/>
  </si>
  <si>
    <t>大豆</t>
    <rPh sb="0" eb="2">
      <t>ダイズ</t>
    </rPh>
    <phoneticPr fontId="1"/>
  </si>
  <si>
    <t>大豆：三重県産</t>
    <rPh sb="0" eb="2">
      <t>ダイズ</t>
    </rPh>
    <rPh sb="3" eb="6">
      <t>ミエケン</t>
    </rPh>
    <rPh sb="6" eb="7">
      <t>サン</t>
    </rPh>
    <phoneticPr fontId="1"/>
  </si>
  <si>
    <t>大豆（三重県産）、食塩</t>
    <rPh sb="0" eb="2">
      <t>ダイズ</t>
    </rPh>
    <rPh sb="3" eb="7">
      <t>ミエケンサン</t>
    </rPh>
    <rPh sb="9" eb="11">
      <t>ショクエン</t>
    </rPh>
    <phoneticPr fontId="1"/>
  </si>
  <si>
    <t>東海醸造株式会社</t>
    <rPh sb="0" eb="2">
      <t>トウカイ</t>
    </rPh>
    <rPh sb="2" eb="4">
      <t>ジョウゾウ</t>
    </rPh>
    <rPh sb="4" eb="8">
      <t>カブシキガイシャ</t>
    </rPh>
    <phoneticPr fontId="1"/>
  </si>
  <si>
    <t>三重県鈴鹿市西玉垣町1454</t>
    <rPh sb="0" eb="3">
      <t>ミエケン</t>
    </rPh>
    <rPh sb="3" eb="6">
      <t>スズカシ</t>
    </rPh>
    <rPh sb="6" eb="9">
      <t>ニシタマガキ</t>
    </rPh>
    <rPh sb="9" eb="10">
      <t>マチ</t>
    </rPh>
    <phoneticPr fontId="1"/>
  </si>
  <si>
    <t>059-382-0001</t>
    <phoneticPr fontId="1"/>
  </si>
  <si>
    <t>-</t>
    <phoneticPr fontId="1"/>
  </si>
  <si>
    <t>刺身、漬け丼</t>
    <rPh sb="0" eb="2">
      <t>サシミ</t>
    </rPh>
    <rPh sb="3" eb="4">
      <t>ツ</t>
    </rPh>
    <rPh sb="5" eb="6">
      <t>ドン</t>
    </rPh>
    <phoneticPr fontId="1"/>
  </si>
  <si>
    <t>木桶下部より滴る自然分離の古式たまり</t>
    <rPh sb="0" eb="2">
      <t>キオケ</t>
    </rPh>
    <rPh sb="2" eb="4">
      <t>カブ</t>
    </rPh>
    <rPh sb="6" eb="7">
      <t>シタタ</t>
    </rPh>
    <rPh sb="8" eb="12">
      <t>シゼンブンリ</t>
    </rPh>
    <rPh sb="13" eb="15">
      <t>コシキ</t>
    </rPh>
    <phoneticPr fontId="1"/>
  </si>
  <si>
    <t>発酵デパートメント</t>
    <rPh sb="0" eb="2">
      <t>ハッコウ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</si>
</sst>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sz val="8"/>
      <color rgb="FFFF0000"/>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1">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30" xfId="0" applyFont="1" applyBorder="1" applyAlignment="1">
      <alignment horizontal="center" vertical="center"/>
    </xf>
    <xf numFmtId="0" fontId="7" fillId="0" borderId="40" xfId="0" applyFont="1" applyBorder="1">
      <alignment vertical="center"/>
    </xf>
    <xf numFmtId="0" fontId="8" fillId="2" borderId="29" xfId="0" applyFont="1" applyFill="1" applyBorder="1">
      <alignment vertical="center"/>
    </xf>
    <xf numFmtId="0" fontId="8" fillId="2" borderId="30" xfId="0" applyFont="1" applyFill="1" applyBorder="1">
      <alignment vertical="center"/>
    </xf>
    <xf numFmtId="0" fontId="8" fillId="2" borderId="27" xfId="0" applyFont="1" applyFill="1" applyBorder="1">
      <alignment vertical="center"/>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7" fillId="0" borderId="30" xfId="0" applyFont="1" applyBorder="1" applyAlignment="1">
      <alignment horizontal="center" vertical="center"/>
    </xf>
    <xf numFmtId="0" fontId="7" fillId="0" borderId="38" xfId="0" applyFont="1" applyBorder="1" applyAlignment="1">
      <alignment horizontal="center" vertical="center"/>
    </xf>
    <xf numFmtId="0" fontId="0" fillId="0" borderId="36" xfId="0" applyBorder="1">
      <alignment vertical="center"/>
    </xf>
    <xf numFmtId="0" fontId="0" fillId="0" borderId="39" xfId="0" applyBorder="1">
      <alignment vertical="center"/>
    </xf>
    <xf numFmtId="0" fontId="8" fillId="2" borderId="38"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xf numFmtId="0" fontId="7" fillId="0" borderId="33" xfId="0" applyFont="1" applyBorder="1">
      <alignment vertical="center"/>
    </xf>
    <xf numFmtId="0" fontId="7" fillId="0" borderId="34" xfId="0" applyFont="1" applyBorder="1">
      <alignment vertical="center"/>
    </xf>
    <xf numFmtId="0" fontId="7" fillId="0" borderId="0" xfId="0" applyFont="1">
      <alignment vertical="center"/>
    </xf>
    <xf numFmtId="0" fontId="8" fillId="2" borderId="32" xfId="0" applyFont="1" applyFill="1" applyBorder="1">
      <alignment vertical="center"/>
    </xf>
    <xf numFmtId="0" fontId="8" fillId="2" borderId="33" xfId="0" applyFont="1" applyFill="1" applyBorder="1">
      <alignment vertical="center"/>
    </xf>
    <xf numFmtId="0" fontId="12" fillId="0" borderId="30" xfId="1" applyFont="1" applyBorder="1">
      <alignment vertical="center"/>
    </xf>
    <xf numFmtId="0" fontId="7" fillId="0" borderId="30" xfId="0" applyFont="1" applyBorder="1">
      <alignment vertical="center"/>
    </xf>
    <xf numFmtId="0" fontId="7" fillId="0" borderId="31" xfId="0" applyFont="1" applyBorder="1">
      <alignment vertical="center"/>
    </xf>
    <xf numFmtId="0" fontId="12" fillId="0" borderId="33" xfId="1" applyFont="1" applyBorder="1">
      <alignment vertical="center"/>
    </xf>
    <xf numFmtId="0" fontId="8" fillId="2" borderId="26"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8" fillId="0" borderId="30" xfId="0" applyFont="1" applyBorder="1" applyAlignment="1">
      <alignment horizontal="center" vertical="center"/>
    </xf>
    <xf numFmtId="0" fontId="8" fillId="2" borderId="35" xfId="0" applyFont="1" applyFill="1" applyBorder="1">
      <alignment vertical="center"/>
    </xf>
    <xf numFmtId="0" fontId="7" fillId="0" borderId="38" xfId="0" applyFont="1" applyBorder="1" applyAlignment="1">
      <alignment horizontal="center" vertical="center" shrinkToFit="1"/>
    </xf>
    <xf numFmtId="0" fontId="0" fillId="0" borderId="36" xfId="0" applyBorder="1" applyAlignment="1">
      <alignment horizontal="center" vertical="center" shrinkToFit="1"/>
    </xf>
    <xf numFmtId="0" fontId="0" fillId="0" borderId="37" xfId="0" applyBorder="1" applyAlignment="1">
      <alignment horizontal="center" vertical="center" shrinkToFi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7" fillId="0" borderId="25" xfId="0" applyFont="1" applyBorder="1">
      <alignment vertical="center"/>
    </xf>
    <xf numFmtId="0" fontId="9" fillId="2" borderId="1" xfId="0" applyFont="1" applyFill="1" applyBorder="1">
      <alignment vertical="center"/>
    </xf>
    <xf numFmtId="0" fontId="9" fillId="2" borderId="2" xfId="0" applyFont="1" applyFill="1" applyBorder="1">
      <alignment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7" fillId="0" borderId="19" xfId="0" applyFont="1" applyBorder="1" applyAlignment="1">
      <alignment horizontal="center" vertical="center"/>
    </xf>
    <xf numFmtId="0" fontId="0" fillId="0" borderId="2" xfId="0" applyBorder="1">
      <alignment vertical="center"/>
    </xf>
    <xf numFmtId="0" fontId="0" fillId="0" borderId="20" xfId="0" applyBorder="1">
      <alignment vertical="center"/>
    </xf>
    <xf numFmtId="0" fontId="8" fillId="2" borderId="1" xfId="0" applyFont="1" applyFill="1" applyBorder="1">
      <alignment vertical="center"/>
    </xf>
    <xf numFmtId="0" fontId="8" fillId="2" borderId="2"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8" fillId="2" borderId="25" xfId="0" applyFont="1" applyFill="1" applyBorder="1">
      <alignment vertical="center"/>
    </xf>
    <xf numFmtId="0" fontId="0" fillId="0" borderId="25" xfId="0" quotePrefix="1" applyBorder="1" applyAlignment="1">
      <alignment horizontal="center" vertical="center"/>
    </xf>
    <xf numFmtId="0" fontId="0" fillId="0" borderId="25" xfId="0" applyBorder="1" applyAlignment="1">
      <alignment horizontal="center" vertical="center"/>
    </xf>
    <xf numFmtId="0" fontId="0" fillId="0" borderId="8" xfId="0" applyBorder="1">
      <alignment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3" fillId="3" borderId="25" xfId="0" quotePrefix="1" applyFont="1" applyFill="1" applyBorder="1" applyAlignment="1">
      <alignment horizontal="center" vertical="center"/>
    </xf>
    <xf numFmtId="0" fontId="13"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7"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7" fillId="0" borderId="8" xfId="0" applyFont="1" applyBorder="1">
      <alignment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2" fillId="0" borderId="25" xfId="1" applyFont="1" applyBorder="1" applyAlignment="1">
      <alignment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7" fillId="0" borderId="38" xfId="0" applyFont="1" applyBorder="1" applyAlignment="1">
      <alignment vertical="center" shrinkToFit="1"/>
    </xf>
    <xf numFmtId="0" fontId="0" fillId="0" borderId="36" xfId="0" applyBorder="1" applyAlignment="1">
      <alignment vertical="center" shrinkToFit="1"/>
    </xf>
    <xf numFmtId="0" fontId="0" fillId="0" borderId="37" xfId="0" applyBorder="1" applyAlignment="1">
      <alignmen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25</xdr:col>
      <xdr:colOff>152400</xdr:colOff>
      <xdr:row>0</xdr:row>
      <xdr:rowOff>114300</xdr:rowOff>
    </xdr:from>
    <xdr:to>
      <xdr:col>31</xdr:col>
      <xdr:colOff>144337</xdr:colOff>
      <xdr:row>1</xdr:row>
      <xdr:rowOff>159463</xdr:rowOff>
    </xdr:to>
    <xdr:pic>
      <xdr:nvPicPr>
        <xdr:cNvPr id="2" name="図 1">
          <a:extLst>
            <a:ext uri="{FF2B5EF4-FFF2-40B4-BE49-F238E27FC236}">
              <a16:creationId xmlns:a16="http://schemas.microsoft.com/office/drawing/2014/main" id="{C2C6C567-EB5E-4F5F-845F-3823F7978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0" y="114300"/>
          <a:ext cx="1134937" cy="245188"/>
        </a:xfrm>
        <a:prstGeom prst="rect">
          <a:avLst/>
        </a:prstGeom>
      </xdr:spPr>
    </xdr:pic>
    <xdr:clientData/>
  </xdr:twoCellAnchor>
  <xdr:twoCellAnchor editAs="oneCell">
    <xdr:from>
      <xdr:col>0</xdr:col>
      <xdr:colOff>123825</xdr:colOff>
      <xdr:row>4</xdr:row>
      <xdr:rowOff>85725</xdr:rowOff>
    </xdr:from>
    <xdr:to>
      <xdr:col>13</xdr:col>
      <xdr:colOff>187325</xdr:colOff>
      <xdr:row>16</xdr:row>
      <xdr:rowOff>149225</xdr:rowOff>
    </xdr:to>
    <xdr:pic>
      <xdr:nvPicPr>
        <xdr:cNvPr id="4" name="図 3">
          <a:extLst>
            <a:ext uri="{FF2B5EF4-FFF2-40B4-BE49-F238E27FC236}">
              <a16:creationId xmlns:a16="http://schemas.microsoft.com/office/drawing/2014/main" id="{898D9EAC-4EC9-F550-B37C-7D7CD6C33F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825" y="1057275"/>
          <a:ext cx="2540000" cy="2501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6</xdr:row>
      <xdr:rowOff>19050</xdr:rowOff>
    </xdr:from>
    <xdr:to>
      <xdr:col>14</xdr:col>
      <xdr:colOff>133350</xdr:colOff>
      <xdr:row>15</xdr:row>
      <xdr:rowOff>188595</xdr:rowOff>
    </xdr:to>
    <xdr:pic>
      <xdr:nvPicPr>
        <xdr:cNvPr id="3" name="図 2">
          <a:extLst>
            <a:ext uri="{FF2B5EF4-FFF2-40B4-BE49-F238E27FC236}">
              <a16:creationId xmlns:a16="http://schemas.microsoft.com/office/drawing/2014/main" id="{6A11FA25-6C16-401B-9CE0-33E861E93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390650"/>
          <a:ext cx="2743200" cy="1988820"/>
        </a:xfrm>
        <a:prstGeom prst="rect">
          <a:avLst/>
        </a:prstGeom>
      </xdr:spPr>
    </xdr:pic>
    <xdr:clientData/>
  </xdr:twoCellAnchor>
  <xdr:twoCellAnchor editAs="oneCell">
    <xdr:from>
      <xdr:col>25</xdr:col>
      <xdr:colOff>161925</xdr:colOff>
      <xdr:row>0</xdr:row>
      <xdr:rowOff>123825</xdr:rowOff>
    </xdr:from>
    <xdr:to>
      <xdr:col>31</xdr:col>
      <xdr:colOff>153862</xdr:colOff>
      <xdr:row>1</xdr:row>
      <xdr:rowOff>168988</xdr:rowOff>
    </xdr:to>
    <xdr:pic>
      <xdr:nvPicPr>
        <xdr:cNvPr id="2" name="図 1">
          <a:extLst>
            <a:ext uri="{FF2B5EF4-FFF2-40B4-BE49-F238E27FC236}">
              <a16:creationId xmlns:a16="http://schemas.microsoft.com/office/drawing/2014/main" id="{C16165A0-1FAE-4C7A-ABB2-5E040EA66E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ote.com/dohman_cho_ken/n/n09586f92a591" TargetMode="External"/><Relationship Id="rId1" Type="http://schemas.openxmlformats.org/officeDocument/2006/relationships/hyperlink" Target="mailto:info@watayasoba.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topLeftCell="A19" zoomScaleNormal="100" workbookViewId="0">
      <selection activeCell="F45" sqref="F45:Q45"/>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75</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76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77</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78</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79</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89</v>
      </c>
      <c r="B20" s="112"/>
      <c r="C20" s="112"/>
      <c r="D20" s="112"/>
      <c r="E20" s="112"/>
      <c r="F20" s="112"/>
      <c r="G20" s="112"/>
      <c r="H20" s="112"/>
      <c r="I20" s="112"/>
      <c r="J20" s="112"/>
      <c r="K20" s="112"/>
      <c r="L20" s="112"/>
      <c r="M20" s="112"/>
      <c r="N20" s="112"/>
      <c r="O20" s="113"/>
      <c r="P20" s="64" t="s">
        <v>88</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80</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82</v>
      </c>
      <c r="B25" s="103"/>
      <c r="C25" s="103"/>
      <c r="D25" s="103"/>
      <c r="E25" s="103"/>
      <c r="F25" s="103"/>
      <c r="G25" s="103"/>
      <c r="H25" s="103"/>
      <c r="I25" s="103"/>
      <c r="J25" s="103"/>
      <c r="K25" s="103"/>
      <c r="L25" s="103"/>
      <c r="M25" s="103"/>
      <c r="N25" s="103"/>
      <c r="O25" s="104"/>
      <c r="P25" s="99" t="s">
        <v>81</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83</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84</v>
      </c>
      <c r="G30" s="85"/>
      <c r="H30" s="85"/>
      <c r="I30" s="85"/>
      <c r="J30" s="85"/>
      <c r="K30" s="85"/>
      <c r="L30" s="85"/>
      <c r="M30" s="85"/>
      <c r="N30" s="85"/>
      <c r="O30" s="85"/>
      <c r="P30" s="85"/>
      <c r="Q30" s="85"/>
      <c r="R30" s="85"/>
      <c r="S30" s="85"/>
      <c r="T30" s="85"/>
      <c r="U30" s="85"/>
      <c r="V30" s="86" t="s">
        <v>24</v>
      </c>
      <c r="W30" s="86"/>
      <c r="X30" s="86"/>
      <c r="Y30" s="86"/>
      <c r="Z30" s="86"/>
      <c r="AA30" s="85"/>
      <c r="AB30" s="85"/>
      <c r="AC30" s="85"/>
      <c r="AD30" s="85"/>
      <c r="AE30" s="85"/>
      <c r="AF30" s="85"/>
    </row>
    <row r="31" spans="1:32" ht="17.25" customHeight="1" thickBot="1" x14ac:dyDescent="0.45">
      <c r="A31" s="76" t="s">
        <v>30</v>
      </c>
      <c r="B31" s="50"/>
      <c r="C31" s="50"/>
      <c r="D31" s="50"/>
      <c r="E31" s="50"/>
      <c r="F31" s="50"/>
      <c r="G31" s="50"/>
      <c r="H31" s="50"/>
      <c r="I31" s="50"/>
      <c r="J31" s="50"/>
      <c r="K31" s="50"/>
      <c r="L31" s="50"/>
      <c r="M31" s="76" t="s">
        <v>31</v>
      </c>
      <c r="N31" s="50"/>
      <c r="O31" s="50"/>
      <c r="P31" s="50"/>
      <c r="Q31" s="50"/>
      <c r="R31" s="50" t="s">
        <v>85</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86</v>
      </c>
      <c r="G32" s="50"/>
      <c r="H32" s="50"/>
      <c r="I32" s="50"/>
      <c r="J32" s="50"/>
      <c r="K32" s="50"/>
      <c r="L32" s="50"/>
      <c r="M32" s="76" t="s">
        <v>28</v>
      </c>
      <c r="N32" s="50"/>
      <c r="O32" s="50"/>
      <c r="P32" s="50"/>
      <c r="Q32" s="50"/>
      <c r="R32" s="50"/>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c r="G35" s="122"/>
      <c r="H35" s="122"/>
      <c r="I35" s="122"/>
      <c r="J35" s="122"/>
      <c r="K35" s="122"/>
      <c r="L35" s="122"/>
      <c r="M35" s="119" t="s">
        <v>38</v>
      </c>
      <c r="N35" s="119"/>
      <c r="O35" s="119"/>
      <c r="P35" s="119"/>
      <c r="Q35" s="119"/>
      <c r="R35" s="121"/>
      <c r="S35" s="121"/>
      <c r="T35" s="121"/>
      <c r="U35" s="121"/>
      <c r="V35" s="121"/>
      <c r="W35" s="121"/>
      <c r="X35" s="121"/>
      <c r="Y35" s="119" t="s">
        <v>43</v>
      </c>
      <c r="Z35" s="119"/>
      <c r="AA35" s="119"/>
      <c r="AB35" s="119"/>
      <c r="AC35" s="122"/>
      <c r="AD35" s="122"/>
      <c r="AE35" s="122"/>
      <c r="AF35" s="123"/>
    </row>
    <row r="36" spans="1:32" ht="15.75" customHeight="1" x14ac:dyDescent="0.4">
      <c r="A36" s="124" t="s">
        <v>39</v>
      </c>
      <c r="B36" s="125"/>
      <c r="C36" s="125"/>
      <c r="D36" s="125"/>
      <c r="E36" s="125"/>
      <c r="F36" s="17">
        <v>1170</v>
      </c>
      <c r="G36" s="17"/>
      <c r="H36" s="17"/>
      <c r="I36" s="17"/>
      <c r="J36" s="17"/>
      <c r="K36" s="17"/>
      <c r="L36" s="3" t="s">
        <v>42</v>
      </c>
      <c r="M36" s="125" t="s">
        <v>40</v>
      </c>
      <c r="N36" s="125"/>
      <c r="O36" s="125"/>
      <c r="P36" s="125"/>
      <c r="Q36" s="125"/>
      <c r="R36" s="17"/>
      <c r="S36" s="17"/>
      <c r="T36" s="17"/>
      <c r="U36" s="17"/>
      <c r="V36" s="17"/>
      <c r="W36" s="17"/>
      <c r="X36" s="3" t="s">
        <v>42</v>
      </c>
      <c r="Y36" s="125" t="s">
        <v>41</v>
      </c>
      <c r="Z36" s="125"/>
      <c r="AA36" s="125"/>
      <c r="AB36" s="125"/>
      <c r="AC36" s="126">
        <f>SUM((F36-R36)/F36)</f>
        <v>1</v>
      </c>
      <c r="AD36" s="126"/>
      <c r="AE36" s="126"/>
      <c r="AF36" s="127"/>
    </row>
    <row r="37" spans="1:32" ht="15.75" customHeight="1" thickBot="1" x14ac:dyDescent="0.45">
      <c r="A37" s="13" t="s">
        <v>46</v>
      </c>
      <c r="B37" s="14"/>
      <c r="C37" s="14"/>
      <c r="D37" s="14"/>
      <c r="E37" s="14"/>
      <c r="F37" s="15"/>
      <c r="G37" s="15"/>
      <c r="H37" s="15"/>
      <c r="I37" s="15"/>
      <c r="J37" s="15"/>
      <c r="K37" s="15"/>
      <c r="L37" s="15"/>
      <c r="M37" s="14" t="s">
        <v>47</v>
      </c>
      <c r="N37" s="14"/>
      <c r="O37" s="14"/>
      <c r="P37" s="14"/>
      <c r="Q37" s="14"/>
      <c r="R37" s="15"/>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c r="W39" s="10"/>
      <c r="X39" s="4" t="s">
        <v>57</v>
      </c>
      <c r="Y39" s="8" t="s">
        <v>58</v>
      </c>
      <c r="Z39" s="8"/>
      <c r="AA39" s="8"/>
      <c r="AB39" s="8"/>
      <c r="AC39" s="9"/>
      <c r="AD39" s="10"/>
      <c r="AE39" s="11" t="s">
        <v>56</v>
      </c>
      <c r="AF39" s="12"/>
    </row>
    <row r="40" spans="1:32" ht="15.75" customHeight="1" x14ac:dyDescent="0.4">
      <c r="A40" s="5"/>
      <c r="B40" s="6"/>
      <c r="C40" s="6"/>
      <c r="D40" s="6"/>
      <c r="E40" s="6"/>
      <c r="F40" s="17"/>
      <c r="G40" s="17"/>
      <c r="H40" s="17"/>
      <c r="I40" s="17"/>
      <c r="J40" s="17"/>
      <c r="K40" s="17"/>
      <c r="L40" s="17"/>
      <c r="M40" s="17"/>
      <c r="N40" s="17"/>
      <c r="O40" s="17"/>
      <c r="P40" s="17"/>
      <c r="Q40" s="17"/>
      <c r="R40" s="6" t="s">
        <v>53</v>
      </c>
      <c r="S40" s="6"/>
      <c r="T40" s="6"/>
      <c r="U40" s="6"/>
      <c r="V40" s="37"/>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c r="W41" s="33"/>
      <c r="X41" s="33"/>
      <c r="Y41" s="33"/>
      <c r="Z41" s="33"/>
      <c r="AA41" s="33"/>
      <c r="AB41" s="33"/>
      <c r="AC41" s="33"/>
      <c r="AD41" s="33"/>
      <c r="AE41" s="33"/>
      <c r="AF41" s="34"/>
    </row>
    <row r="42" spans="1:32" ht="15.75" customHeight="1" thickBot="1" x14ac:dyDescent="0.45">
      <c r="A42" s="30"/>
      <c r="B42" s="31"/>
      <c r="C42" s="31"/>
      <c r="D42" s="31"/>
      <c r="E42" s="31"/>
      <c r="F42" s="15"/>
      <c r="G42" s="15"/>
      <c r="H42" s="15"/>
      <c r="I42" s="15"/>
      <c r="J42" s="15"/>
      <c r="K42" s="15"/>
      <c r="L42" s="15"/>
      <c r="M42" s="15"/>
      <c r="N42" s="15"/>
      <c r="O42" s="15"/>
      <c r="P42" s="15"/>
      <c r="Q42" s="15"/>
      <c r="R42" s="31" t="s">
        <v>55</v>
      </c>
      <c r="S42" s="31"/>
      <c r="T42" s="31"/>
      <c r="U42" s="31"/>
      <c r="V42" s="27"/>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t="s">
        <v>90</v>
      </c>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41" t="s">
        <v>87</v>
      </c>
      <c r="G45" s="42"/>
      <c r="H45" s="42"/>
      <c r="I45" s="42"/>
      <c r="J45" s="42"/>
      <c r="K45" s="42"/>
      <c r="L45" s="42"/>
      <c r="M45" s="42"/>
      <c r="N45" s="42"/>
      <c r="O45" s="42"/>
      <c r="P45" s="42"/>
      <c r="Q45" s="43"/>
      <c r="R45" s="21" t="s">
        <v>69</v>
      </c>
      <c r="S45" s="22"/>
      <c r="T45" s="22"/>
      <c r="U45" s="22"/>
      <c r="V45" s="22"/>
      <c r="W45" s="23"/>
      <c r="X45" s="18" t="s">
        <v>87</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CC73-9F0B-4163-9028-69D9B30F5C3D}">
  <dimension ref="A1:AK125"/>
  <sheetViews>
    <sheetView workbookViewId="0">
      <selection activeCell="AK13" sqref="AK13"/>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73</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36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3</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11</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t="s">
        <v>2</v>
      </c>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t="s">
        <v>10</v>
      </c>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5</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13</v>
      </c>
      <c r="B20" s="112"/>
      <c r="C20" s="112"/>
      <c r="D20" s="112"/>
      <c r="E20" s="112"/>
      <c r="F20" s="112"/>
      <c r="G20" s="112"/>
      <c r="H20" s="112"/>
      <c r="I20" s="112"/>
      <c r="J20" s="112"/>
      <c r="K20" s="112"/>
      <c r="L20" s="112"/>
      <c r="M20" s="112"/>
      <c r="N20" s="112"/>
      <c r="O20" s="113"/>
      <c r="P20" s="64" t="s">
        <v>6</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74</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18</v>
      </c>
      <c r="B25" s="103"/>
      <c r="C25" s="103"/>
      <c r="D25" s="103"/>
      <c r="E25" s="103"/>
      <c r="F25" s="103"/>
      <c r="G25" s="103"/>
      <c r="H25" s="103"/>
      <c r="I25" s="103"/>
      <c r="J25" s="103"/>
      <c r="K25" s="103"/>
      <c r="L25" s="103"/>
      <c r="M25" s="103"/>
      <c r="N25" s="103"/>
      <c r="O25" s="104"/>
      <c r="P25" s="99" t="s">
        <v>17</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19</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25</v>
      </c>
      <c r="G30" s="85"/>
      <c r="H30" s="85"/>
      <c r="I30" s="85"/>
      <c r="J30" s="85"/>
      <c r="K30" s="85"/>
      <c r="L30" s="85"/>
      <c r="M30" s="85"/>
      <c r="N30" s="85"/>
      <c r="O30" s="85"/>
      <c r="P30" s="85"/>
      <c r="Q30" s="85"/>
      <c r="R30" s="85"/>
      <c r="S30" s="85"/>
      <c r="T30" s="85"/>
      <c r="U30" s="85"/>
      <c r="V30" s="86" t="s">
        <v>24</v>
      </c>
      <c r="W30" s="86"/>
      <c r="X30" s="86"/>
      <c r="Y30" s="86"/>
      <c r="Z30" s="86"/>
      <c r="AA30" s="85" t="s">
        <v>23</v>
      </c>
      <c r="AB30" s="85"/>
      <c r="AC30" s="85"/>
      <c r="AD30" s="85"/>
      <c r="AE30" s="85"/>
      <c r="AF30" s="85"/>
    </row>
    <row r="31" spans="1:32" ht="17.25" customHeight="1" thickBot="1" x14ac:dyDescent="0.45">
      <c r="A31" s="76" t="s">
        <v>30</v>
      </c>
      <c r="B31" s="50"/>
      <c r="C31" s="50"/>
      <c r="D31" s="50"/>
      <c r="E31" s="50"/>
      <c r="F31" s="50" t="s">
        <v>32</v>
      </c>
      <c r="G31" s="50"/>
      <c r="H31" s="50"/>
      <c r="I31" s="50"/>
      <c r="J31" s="50"/>
      <c r="K31" s="50"/>
      <c r="L31" s="50"/>
      <c r="M31" s="76" t="s">
        <v>31</v>
      </c>
      <c r="N31" s="50"/>
      <c r="O31" s="50"/>
      <c r="P31" s="50"/>
      <c r="Q31" s="50"/>
      <c r="R31" s="50" t="s">
        <v>33</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27</v>
      </c>
      <c r="G32" s="50"/>
      <c r="H32" s="50"/>
      <c r="I32" s="50"/>
      <c r="J32" s="50"/>
      <c r="K32" s="50"/>
      <c r="L32" s="50"/>
      <c r="M32" s="76" t="s">
        <v>28</v>
      </c>
      <c r="N32" s="50"/>
      <c r="O32" s="50"/>
      <c r="P32" s="50"/>
      <c r="Q32" s="50"/>
      <c r="R32" s="50" t="s">
        <v>29</v>
      </c>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t="s">
        <v>35</v>
      </c>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t="s">
        <v>45</v>
      </c>
      <c r="G35" s="122"/>
      <c r="H35" s="122"/>
      <c r="I35" s="122"/>
      <c r="J35" s="122"/>
      <c r="K35" s="122"/>
      <c r="L35" s="122"/>
      <c r="M35" s="119" t="s">
        <v>38</v>
      </c>
      <c r="N35" s="119"/>
      <c r="O35" s="119"/>
      <c r="P35" s="119"/>
      <c r="Q35" s="119"/>
      <c r="R35" s="121">
        <v>45600447750204</v>
      </c>
      <c r="S35" s="121"/>
      <c r="T35" s="121"/>
      <c r="U35" s="121"/>
      <c r="V35" s="121"/>
      <c r="W35" s="121"/>
      <c r="X35" s="121"/>
      <c r="Y35" s="119" t="s">
        <v>43</v>
      </c>
      <c r="Z35" s="119"/>
      <c r="AA35" s="119"/>
      <c r="AB35" s="119"/>
      <c r="AC35" s="122" t="s">
        <v>44</v>
      </c>
      <c r="AD35" s="122"/>
      <c r="AE35" s="122"/>
      <c r="AF35" s="123"/>
    </row>
    <row r="36" spans="1:32" ht="15.75" customHeight="1" x14ac:dyDescent="0.4">
      <c r="A36" s="124" t="s">
        <v>39</v>
      </c>
      <c r="B36" s="125"/>
      <c r="C36" s="125"/>
      <c r="D36" s="125"/>
      <c r="E36" s="125"/>
      <c r="F36" s="17">
        <v>680</v>
      </c>
      <c r="G36" s="17"/>
      <c r="H36" s="17"/>
      <c r="I36" s="17"/>
      <c r="J36" s="17"/>
      <c r="K36" s="17"/>
      <c r="L36" s="3" t="s">
        <v>42</v>
      </c>
      <c r="M36" s="125" t="s">
        <v>40</v>
      </c>
      <c r="N36" s="125"/>
      <c r="O36" s="125"/>
      <c r="P36" s="125"/>
      <c r="Q36" s="125"/>
      <c r="R36" s="17">
        <v>450</v>
      </c>
      <c r="S36" s="17"/>
      <c r="T36" s="17"/>
      <c r="U36" s="17"/>
      <c r="V36" s="17"/>
      <c r="W36" s="17"/>
      <c r="X36" s="3" t="s">
        <v>42</v>
      </c>
      <c r="Y36" s="125" t="s">
        <v>41</v>
      </c>
      <c r="Z36" s="125"/>
      <c r="AA36" s="125"/>
      <c r="AB36" s="125"/>
      <c r="AC36" s="126">
        <f>SUM((F36-R36)/F36)</f>
        <v>0.33823529411764708</v>
      </c>
      <c r="AD36" s="126"/>
      <c r="AE36" s="126"/>
      <c r="AF36" s="127"/>
    </row>
    <row r="37" spans="1:32" ht="15.75" customHeight="1" thickBot="1" x14ac:dyDescent="0.45">
      <c r="A37" s="13" t="s">
        <v>46</v>
      </c>
      <c r="B37" s="14"/>
      <c r="C37" s="14"/>
      <c r="D37" s="14"/>
      <c r="E37" s="14"/>
      <c r="F37" s="15" t="s">
        <v>61</v>
      </c>
      <c r="G37" s="15"/>
      <c r="H37" s="15"/>
      <c r="I37" s="15"/>
      <c r="J37" s="15"/>
      <c r="K37" s="15"/>
      <c r="L37" s="15"/>
      <c r="M37" s="14" t="s">
        <v>47</v>
      </c>
      <c r="N37" s="14"/>
      <c r="O37" s="14"/>
      <c r="P37" s="14"/>
      <c r="Q37" s="14"/>
      <c r="R37" s="15" t="s">
        <v>60</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v>143</v>
      </c>
      <c r="W39" s="10"/>
      <c r="X39" s="4" t="s">
        <v>57</v>
      </c>
      <c r="Y39" s="8" t="s">
        <v>58</v>
      </c>
      <c r="Z39" s="8"/>
      <c r="AA39" s="8"/>
      <c r="AB39" s="8"/>
      <c r="AC39" s="9">
        <v>3.14</v>
      </c>
      <c r="AD39" s="10"/>
      <c r="AE39" s="11" t="s">
        <v>56</v>
      </c>
      <c r="AF39" s="12"/>
    </row>
    <row r="40" spans="1:32" ht="15.75" customHeight="1" x14ac:dyDescent="0.4">
      <c r="A40" s="5"/>
      <c r="B40" s="6"/>
      <c r="C40" s="6"/>
      <c r="D40" s="6"/>
      <c r="E40" s="6"/>
      <c r="F40" s="17">
        <v>40</v>
      </c>
      <c r="G40" s="17"/>
      <c r="H40" s="17"/>
      <c r="I40" s="17"/>
      <c r="J40" s="17">
        <v>40</v>
      </c>
      <c r="K40" s="17"/>
      <c r="L40" s="17"/>
      <c r="M40" s="17"/>
      <c r="N40" s="17">
        <v>125</v>
      </c>
      <c r="O40" s="17"/>
      <c r="P40" s="17"/>
      <c r="Q40" s="17"/>
      <c r="R40" s="6" t="s">
        <v>53</v>
      </c>
      <c r="S40" s="6"/>
      <c r="T40" s="6"/>
      <c r="U40" s="6"/>
      <c r="V40" s="37" t="s">
        <v>63</v>
      </c>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t="s">
        <v>64</v>
      </c>
      <c r="W41" s="33"/>
      <c r="X41" s="33"/>
      <c r="Y41" s="33"/>
      <c r="Z41" s="33"/>
      <c r="AA41" s="33"/>
      <c r="AB41" s="33"/>
      <c r="AC41" s="33"/>
      <c r="AD41" s="33"/>
      <c r="AE41" s="33"/>
      <c r="AF41" s="34"/>
    </row>
    <row r="42" spans="1:32" ht="15.75" customHeight="1" thickBot="1" x14ac:dyDescent="0.45">
      <c r="A42" s="30"/>
      <c r="B42" s="31"/>
      <c r="C42" s="31"/>
      <c r="D42" s="31"/>
      <c r="E42" s="31"/>
      <c r="F42" s="15">
        <v>190</v>
      </c>
      <c r="G42" s="15"/>
      <c r="H42" s="15"/>
      <c r="I42" s="15"/>
      <c r="J42" s="15">
        <v>240</v>
      </c>
      <c r="K42" s="15"/>
      <c r="L42" s="15"/>
      <c r="M42" s="15"/>
      <c r="N42" s="15">
        <v>140</v>
      </c>
      <c r="O42" s="15"/>
      <c r="P42" s="15"/>
      <c r="Q42" s="15"/>
      <c r="R42" s="31" t="s">
        <v>55</v>
      </c>
      <c r="S42" s="31"/>
      <c r="T42" s="31"/>
      <c r="U42" s="31"/>
      <c r="V42" s="27" t="s">
        <v>65</v>
      </c>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128" t="s">
        <v>70</v>
      </c>
      <c r="G45" s="129"/>
      <c r="H45" s="129"/>
      <c r="I45" s="129"/>
      <c r="J45" s="129"/>
      <c r="K45" s="129"/>
      <c r="L45" s="129"/>
      <c r="M45" s="129"/>
      <c r="N45" s="129"/>
      <c r="O45" s="129"/>
      <c r="P45" s="129"/>
      <c r="Q45" s="130"/>
      <c r="R45" s="21" t="s">
        <v>69</v>
      </c>
      <c r="S45" s="22"/>
      <c r="T45" s="22"/>
      <c r="U45" s="22"/>
      <c r="V45" s="22"/>
      <c r="W45" s="23"/>
      <c r="X45" s="18" t="s">
        <v>71</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t="s">
        <v>72</v>
      </c>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46:L46"/>
    <mergeCell ref="M46:AF46"/>
    <mergeCell ref="A47:L47"/>
    <mergeCell ref="M47:AF47"/>
    <mergeCell ref="V42:AF42"/>
    <mergeCell ref="A43:AF43"/>
    <mergeCell ref="A44:E44"/>
    <mergeCell ref="F44:AF44"/>
    <mergeCell ref="A45:E45"/>
    <mergeCell ref="F45:Q45"/>
    <mergeCell ref="R45:W45"/>
    <mergeCell ref="X45:AF45"/>
    <mergeCell ref="A41:E42"/>
    <mergeCell ref="F41:I41"/>
    <mergeCell ref="J41:M41"/>
    <mergeCell ref="N41:Q41"/>
    <mergeCell ref="R41:U41"/>
    <mergeCell ref="V41:AF41"/>
    <mergeCell ref="F42:I42"/>
    <mergeCell ref="J42:M42"/>
    <mergeCell ref="N42:Q42"/>
    <mergeCell ref="R42:U42"/>
    <mergeCell ref="Y39:AB39"/>
    <mergeCell ref="AC39:AD39"/>
    <mergeCell ref="AE39:AF39"/>
    <mergeCell ref="F40:I40"/>
    <mergeCell ref="J40:M40"/>
    <mergeCell ref="N40:Q40"/>
    <mergeCell ref="R40:U40"/>
    <mergeCell ref="V40:AF40"/>
    <mergeCell ref="A39:E40"/>
    <mergeCell ref="F39:I39"/>
    <mergeCell ref="J39:M39"/>
    <mergeCell ref="N39:Q39"/>
    <mergeCell ref="R39:U39"/>
    <mergeCell ref="V39:W39"/>
    <mergeCell ref="A37:E37"/>
    <mergeCell ref="F37:L37"/>
    <mergeCell ref="M37:Q37"/>
    <mergeCell ref="R37:X37"/>
    <mergeCell ref="Y37:AF37"/>
    <mergeCell ref="A38:AF38"/>
    <mergeCell ref="A36:E36"/>
    <mergeCell ref="F36:K36"/>
    <mergeCell ref="M36:Q36"/>
    <mergeCell ref="R36:W36"/>
    <mergeCell ref="Y36:AB36"/>
    <mergeCell ref="AC36:AF36"/>
    <mergeCell ref="A33:E33"/>
    <mergeCell ref="F33:X33"/>
    <mergeCell ref="Y33:AF33"/>
    <mergeCell ref="A34:AF34"/>
    <mergeCell ref="A35:E35"/>
    <mergeCell ref="F35:L35"/>
    <mergeCell ref="M35:Q35"/>
    <mergeCell ref="R35:X35"/>
    <mergeCell ref="Y35:AB35"/>
    <mergeCell ref="AC35:AF35"/>
    <mergeCell ref="A31:E31"/>
    <mergeCell ref="F31:L31"/>
    <mergeCell ref="M31:Q31"/>
    <mergeCell ref="R31:AF31"/>
    <mergeCell ref="A32:E32"/>
    <mergeCell ref="F32:L32"/>
    <mergeCell ref="M32:Q32"/>
    <mergeCell ref="R32:X32"/>
    <mergeCell ref="Y32:AF32"/>
    <mergeCell ref="A26:E26"/>
    <mergeCell ref="F26:AF26"/>
    <mergeCell ref="A27:AF28"/>
    <mergeCell ref="A29:AF29"/>
    <mergeCell ref="A30:E30"/>
    <mergeCell ref="F30:U30"/>
    <mergeCell ref="V30:Z30"/>
    <mergeCell ref="AA30:AF30"/>
    <mergeCell ref="A24:E24"/>
    <mergeCell ref="F24:O24"/>
    <mergeCell ref="P24:T24"/>
    <mergeCell ref="U24:AF24"/>
    <mergeCell ref="A25:O25"/>
    <mergeCell ref="P25:AF25"/>
    <mergeCell ref="A19:E19"/>
    <mergeCell ref="F19:O19"/>
    <mergeCell ref="P19:T19"/>
    <mergeCell ref="U19:AF19"/>
    <mergeCell ref="A20:O21"/>
    <mergeCell ref="P20:AF23"/>
    <mergeCell ref="A22:E22"/>
    <mergeCell ref="F22:O22"/>
    <mergeCell ref="A23:O23"/>
    <mergeCell ref="U13:AF13"/>
    <mergeCell ref="P14:AF14"/>
    <mergeCell ref="P15:T15"/>
    <mergeCell ref="U15:AF15"/>
    <mergeCell ref="P16:AF16"/>
    <mergeCell ref="P17:T17"/>
    <mergeCell ref="U17:AF17"/>
    <mergeCell ref="A1:AF2"/>
    <mergeCell ref="A3:AF3"/>
    <mergeCell ref="A4:AF4"/>
    <mergeCell ref="A5:O18"/>
    <mergeCell ref="P5:T5"/>
    <mergeCell ref="U5:AF5"/>
    <mergeCell ref="P6:T6"/>
    <mergeCell ref="U6:AF6"/>
    <mergeCell ref="P7:AF12"/>
    <mergeCell ref="P13:T13"/>
    <mergeCell ref="P18:AF18"/>
  </mergeCells>
  <phoneticPr fontId="1"/>
  <hyperlinks>
    <hyperlink ref="F33" r:id="rId1" xr:uid="{935C513C-CA19-4BEC-BF50-05709B7177E5}"/>
    <hyperlink ref="M47" r:id="rId2" xr:uid="{E570CFF3-7CED-49DF-8402-F471E7F96CD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原紙</vt:lpstr>
      <vt:lpstr>記入例</vt:lpstr>
      <vt:lpstr>原紙!Print_Area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2024-01-25T01:59:52Z</dcterms:modified>
</cp:coreProperties>
</file>